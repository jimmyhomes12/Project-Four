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ivotData" sheetId="2" state="visible" r:id="rId2"/>
    <sheet name="KPI_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  <font>
      <b val="1"/>
    </font>
    <font>
      <b val="1"/>
      <color rgb="00FFFFFF"/>
      <sz val="16"/>
    </font>
    <font>
      <b val="1"/>
      <color rgb="00FFFFFF"/>
      <sz val="10"/>
    </font>
    <font>
      <b val="1"/>
      <color rgb="001F3864"/>
      <sz val="18"/>
    </font>
    <font>
      <b val="1"/>
      <color rgb="0070AD47"/>
      <sz val="18"/>
    </font>
    <font>
      <b val="1"/>
      <color rgb="002F5496"/>
      <sz val="18"/>
    </font>
    <font>
      <b val="1"/>
      <color rgb="00FFFFFF"/>
      <sz val="12"/>
    </font>
    <font>
      <b val="1"/>
      <color rgb="00375623"/>
    </font>
    <font>
      <color rgb="001F3864"/>
      <sz val="10"/>
    </font>
    <font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BDD7EE"/>
      </patternFill>
    </fill>
    <fill>
      <patternFill patternType="solid">
        <fgColor rgb="00F9F9F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0" fillId="7" borderId="0" pivotButton="0" quotePrefix="0" xfId="0"/>
    <xf numFmtId="0" fontId="9" fillId="2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indent="1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11" fillId="0" borderId="0" applyAlignment="1" pivotButton="0" quotePrefix="0" xfId="0">
      <alignment horizontal="left" wrapText="1" indent="1"/>
    </xf>
    <xf numFmtId="0" fontId="2" fillId="9" borderId="0" applyAlignment="1" pivotButton="0" quotePrefix="0" xfId="0">
      <alignment horizontal="left" indent="1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0" fontId="10" fillId="8" borderId="0" applyAlignment="1" pivotButton="0" quotePrefix="0" xfId="0">
      <alignment horizontal="right"/>
    </xf>
    <xf numFmtId="0" fontId="10" fillId="9" borderId="0" applyAlignment="1" pivotButton="0" quotePrefix="0" xfId="0">
      <alignment horizontal="right"/>
    </xf>
    <xf numFmtId="0" fontId="12" fillId="0" borderId="0" applyAlignment="1" pivotButton="0" quotePrefix="0" xfId="0">
      <alignment horizontal="left" wrapText="1" indent="1"/>
    </xf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4" fontId="3" fillId="0" borderId="0" pivotButton="0" quotePrefix="0" xfId="0"/>
    <xf numFmtId="164" fontId="3" fillId="4" borderId="0" pivotButton="0" quotePrefix="0" xfId="0"/>
    <xf numFmtId="164" fontId="0" fillId="4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Revenue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'PivotData'!B1</f>
            </strRef>
          </tx>
          <spPr>
            <a:ln>
              <a:prstDash val="solid"/>
            </a:ln>
          </spPr>
          <cat>
            <numRef>
              <f>'PivotData'!$A$2:$A$4</f>
            </numRef>
          </cat>
          <val>
            <numRef>
              <f>'PivotData'!$B$2:$B$4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 Category (by Year)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'PivotData'!B17</f>
            </strRef>
          </tx>
          <spPr>
            <a:ln>
              <a:prstDash val="solid"/>
            </a:ln>
          </spPr>
          <cat>
            <numRef>
              <f>'PivotData'!$A$18:$A$22</f>
            </numRef>
          </cat>
          <val>
            <numRef>
              <f>'PivotData'!$B$18:$B$22</f>
            </numRef>
          </val>
        </ser>
        <ser>
          <idx val="1"/>
          <order val="1"/>
          <tx>
            <strRef>
              <f>'PivotData'!C17</f>
            </strRef>
          </tx>
          <spPr>
            <a:ln>
              <a:prstDash val="solid"/>
            </a:ln>
          </spPr>
          <cat>
            <numRef>
              <f>'PivotData'!$A$18:$A$22</f>
            </numRef>
          </cat>
          <val>
            <numRef>
              <f>'PivotData'!$C$18:$C$22</f>
            </numRef>
          </val>
        </ser>
        <ser>
          <idx val="2"/>
          <order val="2"/>
          <tx>
            <strRef>
              <f>'PivotData'!D17</f>
            </strRef>
          </tx>
          <spPr>
            <a:ln>
              <a:prstDash val="solid"/>
            </a:ln>
          </spPr>
          <cat>
            <numRef>
              <f>'PivotData'!$A$18:$A$22</f>
            </numRef>
          </cat>
          <val>
            <numRef>
              <f>'PivotData'!$D$18:$D$22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 (Year-over-Year)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'PivotData'!B10</f>
            </strRef>
          </tx>
          <spPr>
            <a:ln>
              <a:prstDash val="solid"/>
            </a:ln>
          </spPr>
          <cat>
            <numRef>
              <f>'PivotData'!$A$11:$A$15</f>
            </numRef>
          </cat>
          <val>
            <numRef>
              <f>'PivotData'!$B$11:$B$15</f>
            </numRef>
          </val>
        </ser>
        <ser>
          <idx val="1"/>
          <order val="1"/>
          <tx>
            <strRef>
              <f>'PivotData'!C10</f>
            </strRef>
          </tx>
          <spPr>
            <a:ln>
              <a:prstDash val="solid"/>
            </a:ln>
          </spPr>
          <cat>
            <numRef>
              <f>'PivotData'!$A$11:$A$15</f>
            </numRef>
          </cat>
          <val>
            <numRef>
              <f>'PivotData'!$C$11:$C$15</f>
            </numRef>
          </val>
        </ser>
        <ser>
          <idx val="2"/>
          <order val="2"/>
          <tx>
            <strRef>
              <f>'PivotData'!D10</f>
            </strRef>
          </tx>
          <spPr>
            <a:ln>
              <a:prstDash val="solid"/>
            </a:ln>
          </spPr>
          <cat>
            <numRef>
              <f>'PivotData'!$A$11:$A$15</f>
            </numRef>
          </cat>
          <val>
            <numRef>
              <f>'PivotData'!$D$11:$D$15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2025 Revenue: Online vs In-Store</a:t>
            </a:r>
          </a:p>
        </rich>
      </tx>
    </title>
    <plotArea>
      <pieChart>
        <varyColors val="1"/>
        <ser>
          <idx val="0"/>
          <order val="0"/>
          <tx>
            <strRef>
              <f>'PivotData'!D6</f>
            </strRef>
          </tx>
          <spPr>
            <a:ln>
              <a:prstDash val="solid"/>
            </a:ln>
          </spPr>
          <cat>
            <numRef>
              <f>'PivotData'!$A$7:$A$8</f>
            </numRef>
          </cat>
          <val>
            <numRef>
              <f>'PivotData'!$D$7:$D$8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'PivotData'!U1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'PivotData'!$T$2:$T$13</f>
            </numRef>
          </cat>
          <val>
            <numRef>
              <f>'PivotData'!$U$2:$U$13</f>
            </numRef>
          </val>
        </ser>
        <ser>
          <idx val="1"/>
          <order val="1"/>
          <tx>
            <strRef>
              <f>'PivotData'!V1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'PivotData'!$T$2:$T$13</f>
            </numRef>
          </cat>
          <val>
            <numRef>
              <f>'PivotData'!$V$2:$V$13</f>
            </numRef>
          </val>
        </ser>
        <ser>
          <idx val="2"/>
          <order val="2"/>
          <tx>
            <strRef>
              <f>'PivotData'!W1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'PivotData'!$T$2:$T$13</f>
            </numRef>
          </cat>
          <val>
            <numRef>
              <f>'PivotData'!$W$2:$W$13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39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57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67</row>
      <rowOff>0</rowOff>
    </from>
    <ext cx="100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vt_YearlyRevenue" displayName="pvt_YearlyRevenue" ref="A1:E4" headerRowCount="1">
  <autoFilter ref="A1:E4"/>
  <tableColumns count="5">
    <tableColumn id="1" name="Year"/>
    <tableColumn id="2" name="Revenue"/>
    <tableColumn id="3" name="Gross_Profit"/>
    <tableColumn id="4" name="Gross_Margin_Pct"/>
    <tableColumn id="5" name="YoY_Growth_P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vt_ChannelRevenue" displayName="pvt_ChannelRevenue" ref="A6:D8" headerRowCount="1">
  <autoFilter ref="A6:D8"/>
  <tableColumns count="4">
    <tableColumn id="1" name="Channel"/>
    <tableColumn id="2" name="2023"/>
    <tableColumn id="3" name="2024"/>
    <tableColumn id="4" name="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vt_RegionRevenue" displayName="pvt_RegionRevenue" ref="A10:D15" headerRowCount="1">
  <autoFilter ref="A10:D15"/>
  <tableColumns count="4">
    <tableColumn id="1" name="Region"/>
    <tableColumn id="2" name="2023"/>
    <tableColumn id="3" name="2024"/>
    <tableColumn id="4" name="20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pvt_CategoryRevenue" displayName="pvt_CategoryRevenue" ref="A17:D22" headerRowCount="1">
  <autoFilter ref="A17:D22"/>
  <tableColumns count="4">
    <tableColumn id="1" name="Category"/>
    <tableColumn id="2" name="2023"/>
    <tableColumn id="3" name="2024"/>
    <tableColumn id="4" name="202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vt_TopProducts" displayName="pvt_TopProducts" ref="A24:D34" headerRowCount="1">
  <autoFilter ref="A24:D34"/>
  <tableColumns count="4">
    <tableColumn id="1" name="Product_Name"/>
    <tableColumn id="2" name="Revenue"/>
    <tableColumn id="3" name="Revenue_Pct"/>
    <tableColumn id="4" name="Transaction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pvt_MonthlyRevenue" displayName="pvt_MonthlyRevenue" ref="A36:D72" headerRowCount="1">
  <autoFilter ref="A36:D72"/>
  <tableColumns count="4">
    <tableColumn id="1" name="Year"/>
    <tableColumn id="2" name="Month"/>
    <tableColumn id="3" name="Month_Name"/>
    <tableColumn id="4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Relationship Type="http://schemas.openxmlformats.org/officeDocument/2006/relationships/table" Target="/xl/tables/table4.xml" Id="rId5" /><Relationship Type="http://schemas.openxmlformats.org/officeDocument/2006/relationships/table" Target="/xl/tables/table5.xml" Id="rId6" /><Relationship Type="http://schemas.openxmlformats.org/officeDocument/2006/relationships/table" Target="/xl/tables/table6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1" t="inlineStr">
        <is>
          <t>🛍  Retail Sales BI Dashboard  |  2023 – 2025</t>
        </is>
      </c>
    </row>
    <row r="2" ht="10" customHeight="1"/>
    <row r="4" ht="22" customHeight="1">
      <c r="A4" s="2" t="inlineStr">
        <is>
          <t>YTD Revenue
(2025)</t>
        </is>
      </c>
      <c r="E4" s="3" t="inlineStr">
        <is>
          <t>YoY Growth %
(2025 vs 2024)</t>
        </is>
      </c>
      <c r="I4" s="4" t="inlineStr">
        <is>
          <t>Top Region
(2025)</t>
        </is>
      </c>
      <c r="M4" s="4" t="inlineStr">
        <is>
          <t>Top Category
(2025)</t>
        </is>
      </c>
    </row>
    <row r="5" ht="22" customHeight="1"/>
    <row r="6" ht="22" customHeight="1">
      <c r="A6" s="5" t="inlineStr">
        <is>
          <t>$822,994</t>
        </is>
      </c>
      <c r="E6" s="6" t="inlineStr">
        <is>
          <t>+7.5%</t>
        </is>
      </c>
      <c r="I6" s="7" t="inlineStr">
        <is>
          <t>North</t>
        </is>
      </c>
      <c r="M6" s="7" t="inlineStr">
        <is>
          <t>Footwear</t>
        </is>
      </c>
    </row>
    <row r="7" ht="22" customHeight="1"/>
    <row r="8" ht="22" customHeight="1"/>
    <row r="10" ht="6" customHeight="1">
      <c r="A10" s="8" t="n"/>
    </row>
    <row r="11" ht="20" customHeight="1">
      <c r="A11" s="9" t="inlineStr">
        <is>
          <t>📊  Key Performance Indicators</t>
        </is>
      </c>
      <c r="J11" s="10" t="inlineStr">
        <is>
          <t>💡  Insights &amp; Next Steps</t>
        </is>
      </c>
    </row>
    <row r="12" ht="18" customHeight="1">
      <c r="A12" s="11" t="inlineStr">
        <is>
          <t>YTD Revenue (2025)</t>
        </is>
      </c>
      <c r="B12" s="12" t="n"/>
      <c r="C12" s="12" t="n"/>
      <c r="D12" s="12" t="n"/>
      <c r="E12" s="13" t="inlineStr">
        <is>
          <t>$822,993.87</t>
        </is>
      </c>
      <c r="F12" s="12" t="n"/>
      <c r="G12" s="12" t="n"/>
      <c r="H12" s="12" t="n"/>
      <c r="J12" s="14" t="inlineStr">
        <is>
          <t>• Online channel accounts for ~55% of all transactions across all years.</t>
        </is>
      </c>
    </row>
    <row r="13" ht="18" customHeight="1">
      <c r="A13" s="15" t="inlineStr">
        <is>
          <t>Revenue 2024</t>
        </is>
      </c>
      <c r="B13" s="16" t="n"/>
      <c r="C13" s="16" t="n"/>
      <c r="D13" s="16" t="n"/>
      <c r="E13" s="17" t="inlineStr">
        <is>
          <t>$765,292.69</t>
        </is>
      </c>
      <c r="F13" s="16" t="n"/>
      <c r="G13" s="16" t="n"/>
      <c r="H13" s="16" t="n"/>
      <c r="J13" s="14" t="inlineStr">
        <is>
          <t>• Revenue shows a clear Q4 seasonal spike (Nov–Dec) every year.</t>
        </is>
      </c>
    </row>
    <row r="14" ht="18" customHeight="1">
      <c r="A14" s="11" t="inlineStr">
        <is>
          <t>Revenue 2023</t>
        </is>
      </c>
      <c r="B14" s="12" t="n"/>
      <c r="C14" s="12" t="n"/>
      <c r="D14" s="12" t="n"/>
      <c r="E14" s="13" t="inlineStr">
        <is>
          <t>$667,431.49</t>
        </is>
      </c>
      <c r="F14" s="12" t="n"/>
      <c r="G14" s="12" t="n"/>
      <c r="H14" s="12" t="n"/>
      <c r="J14" s="14" t="inlineStr">
        <is>
          <t>• YoY Growth: +14.7% (2023→2024) and +7.5% (2024→2025).</t>
        </is>
      </c>
    </row>
    <row r="15" ht="18" customHeight="1">
      <c r="A15" s="15" t="inlineStr">
        <is>
          <t>Total Revenue (all years)</t>
        </is>
      </c>
      <c r="B15" s="16" t="n"/>
      <c r="C15" s="16" t="n"/>
      <c r="D15" s="16" t="n"/>
      <c r="E15" s="17" t="inlineStr">
        <is>
          <t>$2,255,718.05</t>
        </is>
      </c>
      <c r="F15" s="16" t="n"/>
      <c r="G15" s="16" t="n"/>
      <c r="H15" s="16" t="n"/>
      <c r="J15" s="14" t="inlineStr">
        <is>
          <t>• Electronics is the highest-revenue category.</t>
        </is>
      </c>
    </row>
    <row r="16" ht="18" customHeight="1">
      <c r="A16" s="11" t="inlineStr">
        <is>
          <t>YoY Growth % (2025 vs 2024)</t>
        </is>
      </c>
      <c r="B16" s="12" t="n"/>
      <c r="C16" s="12" t="n"/>
      <c r="D16" s="12" t="n"/>
      <c r="E16" s="18" t="inlineStr">
        <is>
          <t>+7.5%</t>
        </is>
      </c>
      <c r="F16" s="12" t="n"/>
      <c r="G16" s="12" t="n"/>
      <c r="H16" s="12" t="n"/>
      <c r="J16" s="14" t="inlineStr">
        <is>
          <t>• Sports &amp; Fitness shows the strongest per-unit gross margin.</t>
        </is>
      </c>
    </row>
    <row r="17" ht="18" customHeight="1">
      <c r="A17" s="15" t="inlineStr">
        <is>
          <t>YoY Growth % (2024 vs 2023)</t>
        </is>
      </c>
      <c r="B17" s="16" t="n"/>
      <c r="C17" s="16" t="n"/>
      <c r="D17" s="16" t="n"/>
      <c r="E17" s="19" t="inlineStr">
        <is>
          <t>+14.7%</t>
        </is>
      </c>
      <c r="F17" s="16" t="n"/>
      <c r="G17" s="16" t="n"/>
      <c r="H17" s="16" t="n"/>
      <c r="J17" s="20" t="inlineStr"/>
    </row>
    <row r="18" ht="18" customHeight="1">
      <c r="A18" s="11" t="inlineStr">
        <is>
          <t>Gross Margin % (2025)</t>
        </is>
      </c>
      <c r="B18" s="12" t="n"/>
      <c r="C18" s="12" t="n"/>
      <c r="D18" s="12" t="n"/>
      <c r="E18" s="13" t="inlineStr">
        <is>
          <t>56.8%</t>
        </is>
      </c>
      <c r="F18" s="12" t="n"/>
      <c r="G18" s="12" t="n"/>
      <c r="H18" s="12" t="n"/>
      <c r="J18" s="20" t="inlineStr">
        <is>
          <t>To refresh data:</t>
        </is>
      </c>
    </row>
    <row r="19" ht="18" customHeight="1">
      <c r="A19" s="15" t="inlineStr">
        <is>
          <t>Top Region (2025)</t>
        </is>
      </c>
      <c r="B19" s="16" t="n"/>
      <c r="C19" s="16" t="n"/>
      <c r="D19" s="16" t="n"/>
      <c r="E19" s="17" t="inlineStr">
        <is>
          <t>North</t>
        </is>
      </c>
      <c r="F19" s="16" t="n"/>
      <c r="G19" s="16" t="n"/>
      <c r="H19" s="16" t="n"/>
      <c r="J19" s="20" t="inlineStr">
        <is>
          <t xml:space="preserve">  1. Update data/raw/retail_sales_2023_2025.csv</t>
        </is>
      </c>
    </row>
    <row r="20" ht="18" customHeight="1">
      <c r="A20" s="11" t="inlineStr">
        <is>
          <t>Top Category (2025)</t>
        </is>
      </c>
      <c r="B20" s="12" t="n"/>
      <c r="C20" s="12" t="n"/>
      <c r="D20" s="12" t="n"/>
      <c r="E20" s="13" t="inlineStr">
        <is>
          <t>Footwear</t>
        </is>
      </c>
      <c r="F20" s="12" t="n"/>
      <c r="G20" s="12" t="n"/>
      <c r="H20" s="12" t="n"/>
      <c r="J20" s="20" t="inlineStr">
        <is>
          <t xml:space="preserve">  2. Re-run the data preparation step</t>
        </is>
      </c>
    </row>
    <row r="21" ht="18" customHeight="1">
      <c r="J21" s="20" t="inlineStr">
        <is>
          <t xml:space="preserve">  3. Rebuild PivotTables on the PivotData sheet</t>
        </is>
      </c>
    </row>
  </sheetData>
  <mergeCells count="40">
    <mergeCell ref="A17:D17"/>
    <mergeCell ref="J15:R15"/>
    <mergeCell ref="A20:D20"/>
    <mergeCell ref="E4:H5"/>
    <mergeCell ref="E16:H16"/>
    <mergeCell ref="A11:H11"/>
    <mergeCell ref="A19:D19"/>
    <mergeCell ref="A13:D13"/>
    <mergeCell ref="J11:R11"/>
    <mergeCell ref="J20:R20"/>
    <mergeCell ref="I6:L8"/>
    <mergeCell ref="E18:H18"/>
    <mergeCell ref="J16:R16"/>
    <mergeCell ref="E12:H12"/>
    <mergeCell ref="A15:D15"/>
    <mergeCell ref="A1:R2"/>
    <mergeCell ref="J21:R21"/>
    <mergeCell ref="E14:H14"/>
    <mergeCell ref="J12:R12"/>
    <mergeCell ref="E17:H17"/>
    <mergeCell ref="J18:R18"/>
    <mergeCell ref="A10:R10"/>
    <mergeCell ref="A4:D5"/>
    <mergeCell ref="E20:H20"/>
    <mergeCell ref="I4:L5"/>
    <mergeCell ref="A16:D16"/>
    <mergeCell ref="E19:H19"/>
    <mergeCell ref="J17:R17"/>
    <mergeCell ref="A6:D8"/>
    <mergeCell ref="E13:H13"/>
    <mergeCell ref="E6:H8"/>
    <mergeCell ref="A18:D18"/>
    <mergeCell ref="J14:R14"/>
    <mergeCell ref="M6:P8"/>
    <mergeCell ref="M4:P5"/>
    <mergeCell ref="A12:D12"/>
    <mergeCell ref="J19:R19"/>
    <mergeCell ref="E15:H15"/>
    <mergeCell ref="J13:R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1" t="inlineStr">
        <is>
          <t>Year</t>
        </is>
      </c>
      <c r="B1" s="21" t="inlineStr">
        <is>
          <t>Revenue</t>
        </is>
      </c>
      <c r="C1" s="21" t="inlineStr">
        <is>
          <t>Gross_Profit</t>
        </is>
      </c>
      <c r="D1" s="21" t="inlineStr">
        <is>
          <t>Gross_Margin_Pct</t>
        </is>
      </c>
      <c r="E1" s="21" t="inlineStr">
        <is>
          <t>YoY_Growth_Pct</t>
        </is>
      </c>
      <c r="T1" t="inlineStr">
        <is>
          <t>Month</t>
        </is>
      </c>
      <c r="U1" t="inlineStr">
        <is>
          <t>2023</t>
        </is>
      </c>
      <c r="V1" t="inlineStr">
        <is>
          <t>2024</t>
        </is>
      </c>
      <c r="W1" t="inlineStr">
        <is>
          <t>2025</t>
        </is>
      </c>
    </row>
    <row r="2">
      <c r="A2" t="n">
        <v>2023</v>
      </c>
      <c r="B2" s="22" t="n">
        <v>667431.49</v>
      </c>
      <c r="C2" s="22" t="n">
        <v>378133.49</v>
      </c>
      <c r="D2" s="23" t="n">
        <v>0.5665502687024851</v>
      </c>
      <c r="E2" s="23" t="n"/>
      <c r="T2" t="n">
        <v>1</v>
      </c>
      <c r="U2" t="n">
        <v>40825.99</v>
      </c>
      <c r="V2" t="n">
        <v>35651.13</v>
      </c>
      <c r="W2" t="n">
        <v>50236.38</v>
      </c>
    </row>
    <row r="3">
      <c r="A3" t="n">
        <v>2024</v>
      </c>
      <c r="B3" s="22" t="n">
        <v>765292.6900000001</v>
      </c>
      <c r="C3" s="22" t="n">
        <v>434495.69</v>
      </c>
      <c r="D3" s="23" t="n">
        <v>0.5677509999474841</v>
      </c>
      <c r="E3" s="23" t="n">
        <v>0.1466235882876909</v>
      </c>
      <c r="T3" t="n">
        <v>2</v>
      </c>
      <c r="U3" t="n">
        <v>45273.8</v>
      </c>
      <c r="V3" t="n">
        <v>59748.67</v>
      </c>
      <c r="W3" t="n">
        <v>55282.63</v>
      </c>
    </row>
    <row r="4">
      <c r="A4" t="n">
        <v>2025</v>
      </c>
      <c r="B4" s="22" t="n">
        <v>822993.87</v>
      </c>
      <c r="C4" s="22" t="n">
        <v>467568.87</v>
      </c>
      <c r="D4" s="23" t="n">
        <v>0.568131655707229</v>
      </c>
      <c r="E4" s="23" t="n">
        <v>0.07539753189070698</v>
      </c>
      <c r="T4" t="n">
        <v>3</v>
      </c>
      <c r="U4" t="n">
        <v>46515.42</v>
      </c>
      <c r="V4" t="n">
        <v>60518.96</v>
      </c>
      <c r="W4" t="n">
        <v>68525.50999999999</v>
      </c>
    </row>
    <row r="5">
      <c r="T5" t="n">
        <v>4</v>
      </c>
      <c r="U5" t="n">
        <v>47086.47</v>
      </c>
      <c r="V5" t="n">
        <v>48166.09</v>
      </c>
      <c r="W5" t="n">
        <v>51027.68</v>
      </c>
    </row>
    <row r="6">
      <c r="A6" s="21" t="inlineStr">
        <is>
          <t>Channel</t>
        </is>
      </c>
      <c r="B6" s="21" t="inlineStr">
        <is>
          <t>2023</t>
        </is>
      </c>
      <c r="C6" s="21" t="inlineStr">
        <is>
          <t>2024</t>
        </is>
      </c>
      <c r="D6" s="21" t="inlineStr">
        <is>
          <t>2025</t>
        </is>
      </c>
      <c r="T6" t="n">
        <v>5</v>
      </c>
      <c r="U6" t="n">
        <v>63649.83</v>
      </c>
      <c r="V6" t="n">
        <v>69536.00999999999</v>
      </c>
      <c r="W6" t="n">
        <v>69164.17</v>
      </c>
    </row>
    <row r="7">
      <c r="A7" t="inlineStr">
        <is>
          <t>In-Store</t>
        </is>
      </c>
      <c r="B7" s="22" t="n">
        <v>288806.86</v>
      </c>
      <c r="C7" s="22" t="n">
        <v>338089.69</v>
      </c>
      <c r="D7" s="22" t="n">
        <v>371338.25</v>
      </c>
      <c r="T7" t="n">
        <v>6</v>
      </c>
      <c r="U7" t="n">
        <v>60398.71</v>
      </c>
      <c r="V7" t="n">
        <v>71751.50999999999</v>
      </c>
      <c r="W7" t="n">
        <v>68569.09</v>
      </c>
    </row>
    <row r="8">
      <c r="A8" t="inlineStr">
        <is>
          <t>Online</t>
        </is>
      </c>
      <c r="B8" s="22" t="n">
        <v>378624.63</v>
      </c>
      <c r="C8" s="22" t="n">
        <v>427203</v>
      </c>
      <c r="D8" s="22" t="n">
        <v>451655.62</v>
      </c>
      <c r="T8" t="n">
        <v>7</v>
      </c>
      <c r="U8" t="n">
        <v>53306.61</v>
      </c>
      <c r="V8" t="n">
        <v>61804.91</v>
      </c>
      <c r="W8" t="n">
        <v>61715.77</v>
      </c>
    </row>
    <row r="9">
      <c r="T9" t="n">
        <v>8</v>
      </c>
      <c r="U9" t="n">
        <v>48299.01</v>
      </c>
      <c r="V9" t="n">
        <v>51805.31</v>
      </c>
      <c r="W9" t="n">
        <v>61035.07</v>
      </c>
    </row>
    <row r="10">
      <c r="A10" s="21" t="inlineStr">
        <is>
          <t>Region</t>
        </is>
      </c>
      <c r="B10" s="21" t="inlineStr">
        <is>
          <t>2023</t>
        </is>
      </c>
      <c r="C10" s="21" t="inlineStr">
        <is>
          <t>2024</t>
        </is>
      </c>
      <c r="D10" s="21" t="inlineStr">
        <is>
          <t>2025</t>
        </is>
      </c>
      <c r="T10" t="n">
        <v>9</v>
      </c>
      <c r="U10" t="n">
        <v>54165.76</v>
      </c>
      <c r="V10" t="n">
        <v>56453.32</v>
      </c>
      <c r="W10" t="n">
        <v>61081.74</v>
      </c>
    </row>
    <row r="11">
      <c r="A11" t="inlineStr">
        <is>
          <t>East</t>
        </is>
      </c>
      <c r="B11" s="22" t="n">
        <v>126992.49</v>
      </c>
      <c r="C11" s="22" t="n">
        <v>153551.17</v>
      </c>
      <c r="D11" s="22" t="n">
        <v>163577.46</v>
      </c>
      <c r="T11" t="n">
        <v>10</v>
      </c>
      <c r="U11" t="n">
        <v>61258.14</v>
      </c>
      <c r="V11" t="n">
        <v>75216.85000000001</v>
      </c>
      <c r="W11" t="n">
        <v>84601.67</v>
      </c>
    </row>
    <row r="12">
      <c r="A12" t="inlineStr">
        <is>
          <t>Midwest</t>
        </is>
      </c>
      <c r="B12" s="22" t="n">
        <v>136029.72</v>
      </c>
      <c r="C12" s="22" t="n">
        <v>147263.16</v>
      </c>
      <c r="D12" s="22" t="n">
        <v>169634.43</v>
      </c>
      <c r="T12" t="n">
        <v>11</v>
      </c>
      <c r="U12" t="n">
        <v>70700.69</v>
      </c>
      <c r="V12" t="n">
        <v>84044.73</v>
      </c>
      <c r="W12" t="n">
        <v>93895.49000000001</v>
      </c>
    </row>
    <row r="13">
      <c r="A13" t="inlineStr">
        <is>
          <t>North</t>
        </is>
      </c>
      <c r="B13" s="22" t="n">
        <v>141494.32</v>
      </c>
      <c r="C13" s="22" t="n">
        <v>153790.66</v>
      </c>
      <c r="D13" s="22" t="n">
        <v>170357.82</v>
      </c>
      <c r="T13" t="n">
        <v>12</v>
      </c>
      <c r="U13" t="n">
        <v>75951.06</v>
      </c>
      <c r="V13" t="n">
        <v>90595.2</v>
      </c>
      <c r="W13" t="n">
        <v>97858.67</v>
      </c>
    </row>
    <row r="14">
      <c r="A14" t="inlineStr">
        <is>
          <t>South</t>
        </is>
      </c>
      <c r="B14" s="22" t="n">
        <v>133367.41</v>
      </c>
      <c r="C14" s="22" t="n">
        <v>154789.9</v>
      </c>
      <c r="D14" s="22" t="n">
        <v>160010.14</v>
      </c>
    </row>
    <row r="15">
      <c r="A15" t="inlineStr">
        <is>
          <t>West</t>
        </is>
      </c>
      <c r="B15" s="22" t="n">
        <v>129547.55</v>
      </c>
      <c r="C15" s="22" t="n">
        <v>155897.8</v>
      </c>
      <c r="D15" s="22" t="n">
        <v>159414.02</v>
      </c>
    </row>
    <row r="17">
      <c r="A17" s="21" t="inlineStr">
        <is>
          <t>Category</t>
        </is>
      </c>
      <c r="B17" s="21" t="inlineStr">
        <is>
          <t>2023</t>
        </is>
      </c>
      <c r="C17" s="21" t="inlineStr">
        <is>
          <t>2024</t>
        </is>
      </c>
      <c r="D17" s="21" t="inlineStr">
        <is>
          <t>2025</t>
        </is>
      </c>
    </row>
    <row r="18">
      <c r="A18" t="inlineStr">
        <is>
          <t>Apparel</t>
        </is>
      </c>
      <c r="B18" s="22" t="n">
        <v>136348.44</v>
      </c>
      <c r="C18" s="22" t="n">
        <v>152136.66</v>
      </c>
      <c r="D18" s="22" t="n">
        <v>157495.04</v>
      </c>
    </row>
    <row r="19">
      <c r="A19" t="inlineStr">
        <is>
          <t>Electronics</t>
        </is>
      </c>
      <c r="B19" s="22" t="n">
        <v>163762.88</v>
      </c>
      <c r="C19" s="22" t="n">
        <v>173647.96</v>
      </c>
      <c r="D19" s="22" t="n">
        <v>182181.54</v>
      </c>
    </row>
    <row r="20">
      <c r="A20" t="inlineStr">
        <is>
          <t>Footwear</t>
        </is>
      </c>
      <c r="B20" s="22" t="n">
        <v>142865.05</v>
      </c>
      <c r="C20" s="22" t="n">
        <v>174882.4</v>
      </c>
      <c r="D20" s="22" t="n">
        <v>192108</v>
      </c>
    </row>
    <row r="21">
      <c r="A21" t="inlineStr">
        <is>
          <t>Home &amp; Kitchen</t>
        </is>
      </c>
      <c r="B21" s="22" t="n">
        <v>126807.48</v>
      </c>
      <c r="C21" s="22" t="n">
        <v>154879.62</v>
      </c>
      <c r="D21" s="22" t="n">
        <v>173416.91</v>
      </c>
    </row>
    <row r="22">
      <c r="A22" t="inlineStr">
        <is>
          <t>Sports &amp; Fitness</t>
        </is>
      </c>
      <c r="B22" s="22" t="n">
        <v>97647.64</v>
      </c>
      <c r="C22" s="22" t="n">
        <v>109746.05</v>
      </c>
      <c r="D22" s="22" t="n">
        <v>117792.38</v>
      </c>
    </row>
    <row r="24">
      <c r="A24" s="21" t="inlineStr">
        <is>
          <t>Product_Name</t>
        </is>
      </c>
      <c r="B24" s="21" t="inlineStr">
        <is>
          <t>Revenue</t>
        </is>
      </c>
      <c r="C24" s="21" t="inlineStr">
        <is>
          <t>Revenue_Pct</t>
        </is>
      </c>
      <c r="D24" s="21" t="inlineStr">
        <is>
          <t>Transactions</t>
        </is>
      </c>
    </row>
    <row r="25">
      <c r="A25" t="inlineStr">
        <is>
          <t>Smart Watch</t>
        </is>
      </c>
      <c r="B25" s="22" t="n">
        <v>254156.84</v>
      </c>
      <c r="C25" s="23" t="n">
        <v>0.1732849320373856</v>
      </c>
      <c r="D25" t="n">
        <v>709</v>
      </c>
    </row>
    <row r="26">
      <c r="A26" t="inlineStr">
        <is>
          <t>Winter Jacket</t>
        </is>
      </c>
      <c r="B26" s="22" t="n">
        <v>193269.22</v>
      </c>
      <c r="C26" s="23" t="n">
        <v>0.1317715614209655</v>
      </c>
      <c r="D26" t="n">
        <v>690</v>
      </c>
    </row>
    <row r="27">
      <c r="A27" t="inlineStr">
        <is>
          <t>Air Fryer</t>
        </is>
      </c>
      <c r="B27" s="22" t="n">
        <v>165112.89</v>
      </c>
      <c r="C27" s="23" t="n">
        <v>0.1125744871636991</v>
      </c>
      <c r="D27" t="n">
        <v>687</v>
      </c>
    </row>
    <row r="28">
      <c r="A28" t="inlineStr">
        <is>
          <t>Fitness Tracker</t>
        </is>
      </c>
      <c r="B28" s="22" t="n">
        <v>152133.36</v>
      </c>
      <c r="C28" s="23" t="n">
        <v>0.1037250028298239</v>
      </c>
      <c r="D28" t="n">
        <v>665</v>
      </c>
    </row>
    <row r="29">
      <c r="A29" t="inlineStr">
        <is>
          <t>Hiking Boots</t>
        </is>
      </c>
      <c r="B29" s="22" t="n">
        <v>148829.1</v>
      </c>
      <c r="C29" s="23" t="n">
        <v>0.1014721479802993</v>
      </c>
      <c r="D29" t="n">
        <v>694</v>
      </c>
    </row>
    <row r="30">
      <c r="A30" t="inlineStr">
        <is>
          <t>Dress Shoes</t>
        </is>
      </c>
      <c r="B30" s="22" t="n">
        <v>120757.46</v>
      </c>
      <c r="C30" s="23" t="n">
        <v>0.08233281563111701</v>
      </c>
      <c r="D30" t="n">
        <v>650</v>
      </c>
    </row>
    <row r="31">
      <c r="A31" t="inlineStr">
        <is>
          <t>Wool Sweater</t>
        </is>
      </c>
      <c r="B31" s="22" t="n">
        <v>118250.89</v>
      </c>
      <c r="C31" s="23" t="n">
        <v>0.08062382832982325</v>
      </c>
      <c r="D31" t="n">
        <v>706</v>
      </c>
    </row>
    <row r="32">
      <c r="A32" t="inlineStr">
        <is>
          <t>Wireless Headphones</t>
        </is>
      </c>
      <c r="B32" s="22" t="n">
        <v>110583.71</v>
      </c>
      <c r="C32" s="23" t="n">
        <v>0.07539632091661178</v>
      </c>
      <c r="D32" t="n">
        <v>681</v>
      </c>
    </row>
    <row r="33">
      <c r="A33" t="inlineStr">
        <is>
          <t>Coffee Maker</t>
        </is>
      </c>
      <c r="B33" s="22" t="n">
        <v>102154.72</v>
      </c>
      <c r="C33" s="23" t="n">
        <v>0.06964940905189941</v>
      </c>
      <c r="D33" t="n">
        <v>705</v>
      </c>
    </row>
    <row r="34">
      <c r="A34" t="inlineStr">
        <is>
          <t>Running Shoes</t>
        </is>
      </c>
      <c r="B34" s="22" t="n">
        <v>101450.83</v>
      </c>
      <c r="C34" s="23" t="n">
        <v>0.06916949463837509</v>
      </c>
      <c r="D34" t="n">
        <v>689</v>
      </c>
    </row>
    <row r="36">
      <c r="A36" s="21" t="inlineStr">
        <is>
          <t>Year</t>
        </is>
      </c>
      <c r="B36" s="21" t="inlineStr">
        <is>
          <t>Month</t>
        </is>
      </c>
      <c r="C36" s="21" t="inlineStr">
        <is>
          <t>Month_Name</t>
        </is>
      </c>
      <c r="D36" s="21" t="inlineStr">
        <is>
          <t>Revenue</t>
        </is>
      </c>
    </row>
    <row r="37">
      <c r="A37" t="n">
        <v>2023</v>
      </c>
      <c r="B37" t="n">
        <v>1</v>
      </c>
      <c r="C37" t="inlineStr">
        <is>
          <t>January</t>
        </is>
      </c>
      <c r="D37" s="22" t="n">
        <v>40825.99</v>
      </c>
    </row>
    <row r="38">
      <c r="A38" t="n">
        <v>2023</v>
      </c>
      <c r="B38" t="n">
        <v>2</v>
      </c>
      <c r="C38" t="inlineStr">
        <is>
          <t>February</t>
        </is>
      </c>
      <c r="D38" s="22" t="n">
        <v>45273.8</v>
      </c>
    </row>
    <row r="39">
      <c r="A39" t="n">
        <v>2023</v>
      </c>
      <c r="B39" t="n">
        <v>3</v>
      </c>
      <c r="C39" t="inlineStr">
        <is>
          <t>March</t>
        </is>
      </c>
      <c r="D39" s="22" t="n">
        <v>46515.42</v>
      </c>
    </row>
    <row r="40">
      <c r="A40" t="n">
        <v>2023</v>
      </c>
      <c r="B40" t="n">
        <v>4</v>
      </c>
      <c r="C40" t="inlineStr">
        <is>
          <t>April</t>
        </is>
      </c>
      <c r="D40" s="22" t="n">
        <v>47086.47</v>
      </c>
    </row>
    <row r="41">
      <c r="A41" t="n">
        <v>2023</v>
      </c>
      <c r="B41" t="n">
        <v>5</v>
      </c>
      <c r="C41" t="inlineStr">
        <is>
          <t>May</t>
        </is>
      </c>
      <c r="D41" s="22" t="n">
        <v>63649.83</v>
      </c>
    </row>
    <row r="42">
      <c r="A42" t="n">
        <v>2023</v>
      </c>
      <c r="B42" t="n">
        <v>6</v>
      </c>
      <c r="C42" t="inlineStr">
        <is>
          <t>June</t>
        </is>
      </c>
      <c r="D42" s="22" t="n">
        <v>60398.71</v>
      </c>
    </row>
    <row r="43">
      <c r="A43" t="n">
        <v>2023</v>
      </c>
      <c r="B43" t="n">
        <v>7</v>
      </c>
      <c r="C43" t="inlineStr">
        <is>
          <t>July</t>
        </is>
      </c>
      <c r="D43" s="22" t="n">
        <v>53306.61</v>
      </c>
    </row>
    <row r="44">
      <c r="A44" t="n">
        <v>2023</v>
      </c>
      <c r="B44" t="n">
        <v>8</v>
      </c>
      <c r="C44" t="inlineStr">
        <is>
          <t>August</t>
        </is>
      </c>
      <c r="D44" s="22" t="n">
        <v>48299.01</v>
      </c>
    </row>
    <row r="45">
      <c r="A45" t="n">
        <v>2023</v>
      </c>
      <c r="B45" t="n">
        <v>9</v>
      </c>
      <c r="C45" t="inlineStr">
        <is>
          <t>September</t>
        </is>
      </c>
      <c r="D45" s="22" t="n">
        <v>54165.76</v>
      </c>
    </row>
    <row r="46">
      <c r="A46" t="n">
        <v>2023</v>
      </c>
      <c r="B46" t="n">
        <v>10</v>
      </c>
      <c r="C46" t="inlineStr">
        <is>
          <t>October</t>
        </is>
      </c>
      <c r="D46" s="22" t="n">
        <v>61258.14</v>
      </c>
    </row>
    <row r="47">
      <c r="A47" t="n">
        <v>2023</v>
      </c>
      <c r="B47" t="n">
        <v>11</v>
      </c>
      <c r="C47" t="inlineStr">
        <is>
          <t>November</t>
        </is>
      </c>
      <c r="D47" s="22" t="n">
        <v>70700.69</v>
      </c>
    </row>
    <row r="48">
      <c r="A48" t="n">
        <v>2023</v>
      </c>
      <c r="B48" t="n">
        <v>12</v>
      </c>
      <c r="C48" t="inlineStr">
        <is>
          <t>December</t>
        </is>
      </c>
      <c r="D48" s="22" t="n">
        <v>75951.06</v>
      </c>
    </row>
    <row r="49">
      <c r="A49" t="n">
        <v>2024</v>
      </c>
      <c r="B49" t="n">
        <v>1</v>
      </c>
      <c r="C49" t="inlineStr">
        <is>
          <t>January</t>
        </is>
      </c>
      <c r="D49" s="22" t="n">
        <v>35651.13</v>
      </c>
    </row>
    <row r="50">
      <c r="A50" t="n">
        <v>2024</v>
      </c>
      <c r="B50" t="n">
        <v>2</v>
      </c>
      <c r="C50" t="inlineStr">
        <is>
          <t>February</t>
        </is>
      </c>
      <c r="D50" s="22" t="n">
        <v>59748.67</v>
      </c>
    </row>
    <row r="51">
      <c r="A51" t="n">
        <v>2024</v>
      </c>
      <c r="B51" t="n">
        <v>3</v>
      </c>
      <c r="C51" t="inlineStr">
        <is>
          <t>March</t>
        </is>
      </c>
      <c r="D51" s="22" t="n">
        <v>60518.96</v>
      </c>
    </row>
    <row r="52">
      <c r="A52" t="n">
        <v>2024</v>
      </c>
      <c r="B52" t="n">
        <v>4</v>
      </c>
      <c r="C52" t="inlineStr">
        <is>
          <t>April</t>
        </is>
      </c>
      <c r="D52" s="22" t="n">
        <v>48166.09</v>
      </c>
    </row>
    <row r="53">
      <c r="A53" t="n">
        <v>2024</v>
      </c>
      <c r="B53" t="n">
        <v>5</v>
      </c>
      <c r="C53" t="inlineStr">
        <is>
          <t>May</t>
        </is>
      </c>
      <c r="D53" s="22" t="n">
        <v>69536.00999999999</v>
      </c>
    </row>
    <row r="54">
      <c r="A54" t="n">
        <v>2024</v>
      </c>
      <c r="B54" t="n">
        <v>6</v>
      </c>
      <c r="C54" t="inlineStr">
        <is>
          <t>June</t>
        </is>
      </c>
      <c r="D54" s="22" t="n">
        <v>71751.50999999999</v>
      </c>
    </row>
    <row r="55">
      <c r="A55" t="n">
        <v>2024</v>
      </c>
      <c r="B55" t="n">
        <v>7</v>
      </c>
      <c r="C55" t="inlineStr">
        <is>
          <t>July</t>
        </is>
      </c>
      <c r="D55" s="22" t="n">
        <v>61804.91</v>
      </c>
    </row>
    <row r="56">
      <c r="A56" t="n">
        <v>2024</v>
      </c>
      <c r="B56" t="n">
        <v>8</v>
      </c>
      <c r="C56" t="inlineStr">
        <is>
          <t>August</t>
        </is>
      </c>
      <c r="D56" s="22" t="n">
        <v>51805.31</v>
      </c>
    </row>
    <row r="57">
      <c r="A57" t="n">
        <v>2024</v>
      </c>
      <c r="B57" t="n">
        <v>9</v>
      </c>
      <c r="C57" t="inlineStr">
        <is>
          <t>September</t>
        </is>
      </c>
      <c r="D57" s="22" t="n">
        <v>56453.32</v>
      </c>
    </row>
    <row r="58">
      <c r="A58" t="n">
        <v>2024</v>
      </c>
      <c r="B58" t="n">
        <v>10</v>
      </c>
      <c r="C58" t="inlineStr">
        <is>
          <t>October</t>
        </is>
      </c>
      <c r="D58" s="22" t="n">
        <v>75216.85000000001</v>
      </c>
    </row>
    <row r="59">
      <c r="A59" t="n">
        <v>2024</v>
      </c>
      <c r="B59" t="n">
        <v>11</v>
      </c>
      <c r="C59" t="inlineStr">
        <is>
          <t>November</t>
        </is>
      </c>
      <c r="D59" s="22" t="n">
        <v>84044.73</v>
      </c>
    </row>
    <row r="60">
      <c r="A60" t="n">
        <v>2024</v>
      </c>
      <c r="B60" t="n">
        <v>12</v>
      </c>
      <c r="C60" t="inlineStr">
        <is>
          <t>December</t>
        </is>
      </c>
      <c r="D60" s="22" t="n">
        <v>90595.2</v>
      </c>
    </row>
    <row r="61">
      <c r="A61" t="n">
        <v>2025</v>
      </c>
      <c r="B61" t="n">
        <v>1</v>
      </c>
      <c r="C61" t="inlineStr">
        <is>
          <t>January</t>
        </is>
      </c>
      <c r="D61" s="22" t="n">
        <v>50236.38</v>
      </c>
    </row>
    <row r="62">
      <c r="A62" t="n">
        <v>2025</v>
      </c>
      <c r="B62" t="n">
        <v>2</v>
      </c>
      <c r="C62" t="inlineStr">
        <is>
          <t>February</t>
        </is>
      </c>
      <c r="D62" s="22" t="n">
        <v>55282.63</v>
      </c>
    </row>
    <row r="63">
      <c r="A63" t="n">
        <v>2025</v>
      </c>
      <c r="B63" t="n">
        <v>3</v>
      </c>
      <c r="C63" t="inlineStr">
        <is>
          <t>March</t>
        </is>
      </c>
      <c r="D63" s="22" t="n">
        <v>68525.50999999999</v>
      </c>
    </row>
    <row r="64">
      <c r="A64" t="n">
        <v>2025</v>
      </c>
      <c r="B64" t="n">
        <v>4</v>
      </c>
      <c r="C64" t="inlineStr">
        <is>
          <t>April</t>
        </is>
      </c>
      <c r="D64" s="22" t="n">
        <v>51027.68</v>
      </c>
    </row>
    <row r="65">
      <c r="A65" t="n">
        <v>2025</v>
      </c>
      <c r="B65" t="n">
        <v>5</v>
      </c>
      <c r="C65" t="inlineStr">
        <is>
          <t>May</t>
        </is>
      </c>
      <c r="D65" s="22" t="n">
        <v>69164.17</v>
      </c>
    </row>
    <row r="66">
      <c r="A66" t="n">
        <v>2025</v>
      </c>
      <c r="B66" t="n">
        <v>6</v>
      </c>
      <c r="C66" t="inlineStr">
        <is>
          <t>June</t>
        </is>
      </c>
      <c r="D66" s="22" t="n">
        <v>68569.09</v>
      </c>
    </row>
    <row r="67">
      <c r="A67" t="n">
        <v>2025</v>
      </c>
      <c r="B67" t="n">
        <v>7</v>
      </c>
      <c r="C67" t="inlineStr">
        <is>
          <t>July</t>
        </is>
      </c>
      <c r="D67" s="22" t="n">
        <v>61715.77</v>
      </c>
    </row>
    <row r="68">
      <c r="A68" t="n">
        <v>2025</v>
      </c>
      <c r="B68" t="n">
        <v>8</v>
      </c>
      <c r="C68" t="inlineStr">
        <is>
          <t>August</t>
        </is>
      </c>
      <c r="D68" s="22" t="n">
        <v>61035.07</v>
      </c>
    </row>
    <row r="69">
      <c r="A69" t="n">
        <v>2025</v>
      </c>
      <c r="B69" t="n">
        <v>9</v>
      </c>
      <c r="C69" t="inlineStr">
        <is>
          <t>September</t>
        </is>
      </c>
      <c r="D69" s="22" t="n">
        <v>61081.74</v>
      </c>
    </row>
    <row r="70">
      <c r="A70" t="n">
        <v>2025</v>
      </c>
      <c r="B70" t="n">
        <v>10</v>
      </c>
      <c r="C70" t="inlineStr">
        <is>
          <t>October</t>
        </is>
      </c>
      <c r="D70" s="22" t="n">
        <v>84601.67</v>
      </c>
    </row>
    <row r="71">
      <c r="A71" t="n">
        <v>2025</v>
      </c>
      <c r="B71" t="n">
        <v>11</v>
      </c>
      <c r="C71" t="inlineStr">
        <is>
          <t>November</t>
        </is>
      </c>
      <c r="D71" s="22" t="n">
        <v>93895.49000000001</v>
      </c>
    </row>
    <row r="72">
      <c r="A72" t="n">
        <v>2025</v>
      </c>
      <c r="B72" t="n">
        <v>12</v>
      </c>
      <c r="C72" t="inlineStr">
        <is>
          <t>December</t>
        </is>
      </c>
      <c r="D72" s="22" t="n">
        <v>97858.67</v>
      </c>
    </row>
  </sheetData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24" t="inlineStr">
        <is>
          <t>KPI</t>
        </is>
      </c>
      <c r="B1" s="24" t="inlineStr">
        <is>
          <t>Value</t>
        </is>
      </c>
    </row>
    <row r="2">
      <c r="A2" s="25" t="inlineStr">
        <is>
          <t>YTD Revenue (2025)</t>
        </is>
      </c>
      <c r="B2" s="26" t="n">
        <v>822993.87</v>
      </c>
    </row>
    <row r="3">
      <c r="A3" s="25" t="inlineStr">
        <is>
          <t>Revenue 2024</t>
        </is>
      </c>
      <c r="B3" s="22" t="n">
        <v>765292.6900000001</v>
      </c>
    </row>
    <row r="4">
      <c r="A4" s="25" t="inlineStr">
        <is>
          <t>Revenue 2023</t>
        </is>
      </c>
      <c r="B4" s="22" t="n">
        <v>667431.49</v>
      </c>
    </row>
    <row r="5">
      <c r="A5" s="25" t="inlineStr">
        <is>
          <t>Total Revenue (all years)</t>
        </is>
      </c>
      <c r="B5" s="22" t="n">
        <v>2255718.05</v>
      </c>
    </row>
    <row r="6">
      <c r="A6" s="25" t="inlineStr">
        <is>
          <t>YoY Growth % (2025 vs 2024)</t>
        </is>
      </c>
      <c r="B6" s="27" t="n">
        <v>0.07539753189070698</v>
      </c>
    </row>
    <row r="7">
      <c r="A7" s="25" t="inlineStr">
        <is>
          <t>YoY Growth % (2024 vs 2023)</t>
        </is>
      </c>
      <c r="B7" s="28" t="n">
        <v>0.1466235882876909</v>
      </c>
    </row>
    <row r="8">
      <c r="A8" s="25" t="inlineStr">
        <is>
          <t>Gross Margin % (2025)</t>
        </is>
      </c>
      <c r="B8" s="29" t="n">
        <v>0.568131655707229</v>
      </c>
    </row>
    <row r="9">
      <c r="A9" s="25" t="inlineStr">
        <is>
          <t>Top Region (2025)</t>
        </is>
      </c>
      <c r="B9" t="inlineStr">
        <is>
          <t>North</t>
        </is>
      </c>
    </row>
    <row r="10">
      <c r="A10" s="25" t="inlineStr">
        <is>
          <t>Top Category (2025)</t>
        </is>
      </c>
      <c r="B10" t="inlineStr">
        <is>
          <t>Footwear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2026-03-14T03:30:27Z</dcterms:created>
  <dcterms:modified xsi:type="dcterms:W3CDTF">2026-03-14T03:30:27Z</dcterms:modified>
</cp:coreProperties>
</file>